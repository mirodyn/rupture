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personal\spellcaster\"/>
    </mc:Choice>
  </mc:AlternateContent>
  <xr:revisionPtr revIDLastSave="0" documentId="13_ncr:1_{2975DF05-E183-43E8-93C1-BD2444CDC28D}" xr6:coauthVersionLast="47" xr6:coauthVersionMax="47" xr10:uidLastSave="{00000000-0000-0000-0000-000000000000}"/>
  <bookViews>
    <workbookView xWindow="-120" yWindow="-120" windowWidth="29040" windowHeight="17520" activeTab="1" xr2:uid="{FE9DE988-81A9-4059-8625-C7CD6DB2409C}"/>
  </bookViews>
  <sheets>
    <sheet name="List1" sheetId="1" r:id="rId1"/>
    <sheet name="component_counts" sheetId="2" r:id="rId2"/>
    <sheet name="probabilities" sheetId="3" r:id="rId3"/>
    <sheet name="effec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2" l="1"/>
  <c r="E19" i="2"/>
  <c r="E14" i="2"/>
  <c r="E13" i="2"/>
  <c r="E12" i="2"/>
  <c r="E18" i="2"/>
  <c r="E8" i="2"/>
  <c r="E7" i="2"/>
  <c r="E6" i="2"/>
  <c r="E17" i="2"/>
  <c r="E11" i="2"/>
  <c r="E2" i="2"/>
  <c r="E4" i="2" l="1"/>
  <c r="E16" i="2"/>
  <c r="E5" i="2"/>
  <c r="E3" i="2"/>
  <c r="E9" i="2"/>
  <c r="E15" i="2"/>
  <c r="E10" i="2"/>
</calcChain>
</file>

<file path=xl/sharedStrings.xml><?xml version="1.0" encoding="utf-8"?>
<sst xmlns="http://schemas.openxmlformats.org/spreadsheetml/2006/main" count="83" uniqueCount="72">
  <si>
    <t>A</t>
  </si>
  <si>
    <t>B</t>
  </si>
  <si>
    <t>C</t>
  </si>
  <si>
    <t>D</t>
  </si>
  <si>
    <t>E</t>
  </si>
  <si>
    <t>F</t>
  </si>
  <si>
    <t>X</t>
  </si>
  <si>
    <t>Y</t>
  </si>
  <si>
    <t>A3</t>
  </si>
  <si>
    <t>B3</t>
  </si>
  <si>
    <t>C3</t>
  </si>
  <si>
    <t>A2</t>
  </si>
  <si>
    <t>B2</t>
  </si>
  <si>
    <t>C2</t>
  </si>
  <si>
    <t>D2</t>
  </si>
  <si>
    <t>D3</t>
  </si>
  <si>
    <t>E3</t>
  </si>
  <si>
    <t>F3</t>
  </si>
  <si>
    <t>E2</t>
  </si>
  <si>
    <t>F2</t>
  </si>
  <si>
    <t>A1</t>
  </si>
  <si>
    <t>B1</t>
  </si>
  <si>
    <t>C1</t>
  </si>
  <si>
    <t>D1</t>
  </si>
  <si>
    <t>E1</t>
  </si>
  <si>
    <t>F1</t>
  </si>
  <si>
    <t>G</t>
  </si>
  <si>
    <t>H</t>
  </si>
  <si>
    <t>I</t>
  </si>
  <si>
    <t>J</t>
  </si>
  <si>
    <t>1-1</t>
  </si>
  <si>
    <t>1-1-1</t>
  </si>
  <si>
    <t>1</t>
  </si>
  <si>
    <t>1-1-1-1</t>
  </si>
  <si>
    <t>designed number</t>
  </si>
  <si>
    <t>derived numbers</t>
  </si>
  <si>
    <t>common_rune_types</t>
  </si>
  <si>
    <t>uncommon_rune_types</t>
  </si>
  <si>
    <t>rare_rune_types</t>
  </si>
  <si>
    <t>total_runes</t>
  </si>
  <si>
    <t>rune_types</t>
  </si>
  <si>
    <t>common_rune_prob_4_pl</t>
  </si>
  <si>
    <t>uncommon_rune_prob_4_pl</t>
  </si>
  <si>
    <t>rare_rune_prob_4_pl</t>
  </si>
  <si>
    <t>rune_offer_size_4_pl</t>
  </si>
  <si>
    <t>rune_offer_size_2_pl</t>
  </si>
  <si>
    <t>rune_offer_size_3_pl</t>
  </si>
  <si>
    <t>rare_rune_prob_3_pl</t>
  </si>
  <si>
    <t>rare_rune_prob_2_pl</t>
  </si>
  <si>
    <t>uncommon_rune_prob_3_pl</t>
  </si>
  <si>
    <t>uncommon_rune_prob_2_pl</t>
  </si>
  <si>
    <t>common_rune_prob_3_pl</t>
  </si>
  <si>
    <t>common_rune_prob_2_pl</t>
  </si>
  <si>
    <t>common_rune_copies</t>
  </si>
  <si>
    <t>uncommon_rune_copies</t>
  </si>
  <si>
    <t>rare_rune_copies</t>
  </si>
  <si>
    <t>common_rune_offer_avg_4_pl</t>
  </si>
  <si>
    <t>uncommon_rune_offer_avg_4_pl</t>
  </si>
  <si>
    <t>rare_rune_offer_avg_4_pl</t>
  </si>
  <si>
    <t>common_rune_offer_avg_3_pl</t>
  </si>
  <si>
    <t>uncommon_rune_offer_avg_3_pl</t>
  </si>
  <si>
    <t>rare_rune_offer_avg_3_pl</t>
  </si>
  <si>
    <t>status_deck_size</t>
  </si>
  <si>
    <t>1_hearth_count</t>
  </si>
  <si>
    <t>2_hearth_count</t>
  </si>
  <si>
    <t>1_skull_count</t>
  </si>
  <si>
    <t>2_skull_count</t>
  </si>
  <si>
    <t>probability_of_death</t>
  </si>
  <si>
    <t>draw_count</t>
  </si>
  <si>
    <t>Name</t>
  </si>
  <si>
    <t>Text</t>
  </si>
  <si>
    <t>Runes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</si>
</sst>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BFDF-94F9-4059-AF12-D9BE066CA02E}">
  <dimension ref="A2:I24"/>
  <sheetViews>
    <sheetView workbookViewId="0">
      <selection activeCell="K2" sqref="K2"/>
    </sheetView>
  </sheetViews>
  <sheetFormatPr defaultRowHeight="15" x14ac:dyDescent="0.25"/>
  <cols>
    <col min="7" max="7" width="15.28515625" customWidth="1"/>
  </cols>
  <sheetData>
    <row r="2" spans="1:9" x14ac:dyDescent="0.25">
      <c r="A2" s="1"/>
      <c r="B2" s="1">
        <v>1</v>
      </c>
      <c r="C2" s="1">
        <v>2</v>
      </c>
      <c r="D2" s="1">
        <v>3</v>
      </c>
    </row>
    <row r="3" spans="1:9" x14ac:dyDescent="0.25">
      <c r="A3" s="1" t="s">
        <v>0</v>
      </c>
      <c r="B3" s="2" t="s">
        <v>20</v>
      </c>
      <c r="C3" s="2" t="s">
        <v>11</v>
      </c>
      <c r="D3" s="2" t="s">
        <v>8</v>
      </c>
    </row>
    <row r="4" spans="1:9" x14ac:dyDescent="0.25">
      <c r="A4" s="1" t="s">
        <v>1</v>
      </c>
      <c r="B4" s="2" t="s">
        <v>21</v>
      </c>
      <c r="C4" s="2" t="s">
        <v>12</v>
      </c>
      <c r="D4" s="2" t="s">
        <v>9</v>
      </c>
    </row>
    <row r="5" spans="1:9" x14ac:dyDescent="0.25">
      <c r="A5" s="1" t="s">
        <v>2</v>
      </c>
      <c r="B5" s="2" t="s">
        <v>22</v>
      </c>
      <c r="C5" s="2" t="s">
        <v>13</v>
      </c>
      <c r="D5" s="2" t="s">
        <v>10</v>
      </c>
    </row>
    <row r="6" spans="1:9" x14ac:dyDescent="0.25">
      <c r="A6" s="1" t="s">
        <v>3</v>
      </c>
      <c r="B6" s="2" t="s">
        <v>23</v>
      </c>
      <c r="C6" s="2" t="s">
        <v>14</v>
      </c>
      <c r="D6" s="2" t="s">
        <v>15</v>
      </c>
    </row>
    <row r="7" spans="1:9" x14ac:dyDescent="0.25">
      <c r="A7" s="1" t="s">
        <v>4</v>
      </c>
      <c r="B7" s="2" t="s">
        <v>24</v>
      </c>
      <c r="C7" s="2" t="s">
        <v>18</v>
      </c>
      <c r="D7" s="2" t="s">
        <v>16</v>
      </c>
    </row>
    <row r="8" spans="1:9" x14ac:dyDescent="0.25">
      <c r="A8" s="1" t="s">
        <v>5</v>
      </c>
      <c r="B8" s="2" t="s">
        <v>25</v>
      </c>
      <c r="C8" s="2" t="s">
        <v>19</v>
      </c>
      <c r="D8" s="2" t="s">
        <v>17</v>
      </c>
    </row>
    <row r="9" spans="1:9" x14ac:dyDescent="0.25">
      <c r="A9" s="1" t="s">
        <v>26</v>
      </c>
    </row>
    <row r="10" spans="1:9" x14ac:dyDescent="0.25">
      <c r="A10" s="1" t="s">
        <v>27</v>
      </c>
    </row>
    <row r="11" spans="1:9" x14ac:dyDescent="0.25">
      <c r="A11" s="1" t="s">
        <v>28</v>
      </c>
    </row>
    <row r="12" spans="1:9" x14ac:dyDescent="0.25">
      <c r="A12" s="1" t="s">
        <v>29</v>
      </c>
    </row>
    <row r="14" spans="1:9" x14ac:dyDescent="0.25">
      <c r="B14" s="6" t="s">
        <v>32</v>
      </c>
      <c r="C14" s="6" t="s">
        <v>30</v>
      </c>
      <c r="D14" s="6" t="s">
        <v>31</v>
      </c>
      <c r="E14" s="6" t="s">
        <v>33</v>
      </c>
      <c r="F14" s="6"/>
      <c r="G14" s="6"/>
      <c r="H14" s="6"/>
      <c r="I14" s="6"/>
    </row>
    <row r="15" spans="1:9" x14ac:dyDescent="0.25">
      <c r="A15" s="5" t="s">
        <v>0</v>
      </c>
      <c r="B15" s="6"/>
      <c r="C15" s="6"/>
      <c r="D15" s="6"/>
      <c r="E15" s="6"/>
      <c r="F15" s="6"/>
      <c r="G15" s="6"/>
      <c r="H15" s="6"/>
      <c r="I15" s="6"/>
    </row>
    <row r="16" spans="1:9" x14ac:dyDescent="0.25">
      <c r="A16" s="5" t="s">
        <v>1</v>
      </c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 t="s">
        <v>2</v>
      </c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 t="s">
        <v>3</v>
      </c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 t="s">
        <v>4</v>
      </c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4" t="s">
        <v>5</v>
      </c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4" t="s">
        <v>26</v>
      </c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4" t="s">
        <v>27</v>
      </c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3" t="s">
        <v>6</v>
      </c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3" t="s">
        <v>7</v>
      </c>
      <c r="B24" s="6"/>
      <c r="C24" s="6"/>
      <c r="D24" s="6"/>
      <c r="E24" s="6"/>
      <c r="F24" s="6"/>
      <c r="G24" s="6"/>
      <c r="H24" s="6"/>
      <c r="I24" s="6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DC85-51E9-4CFF-94C0-7962CA1A9C1E}">
  <dimension ref="A1:E20"/>
  <sheetViews>
    <sheetView tabSelected="1" workbookViewId="0">
      <selection activeCell="A13" sqref="A13"/>
    </sheetView>
  </sheetViews>
  <sheetFormatPr defaultRowHeight="15" x14ac:dyDescent="0.25"/>
  <cols>
    <col min="1" max="1" width="40.85546875" customWidth="1"/>
    <col min="2" max="2" width="25.5703125" customWidth="1"/>
    <col min="4" max="4" width="36.140625" customWidth="1"/>
    <col min="5" max="5" width="21.85546875" customWidth="1"/>
    <col min="8" max="8" width="28.85546875" customWidth="1"/>
    <col min="9" max="9" width="56.28515625" customWidth="1"/>
  </cols>
  <sheetData>
    <row r="1" spans="1:5" x14ac:dyDescent="0.25">
      <c r="A1" s="10" t="s">
        <v>34</v>
      </c>
      <c r="B1" s="10"/>
      <c r="D1" s="11" t="s">
        <v>35</v>
      </c>
      <c r="E1" s="11"/>
    </row>
    <row r="2" spans="1:5" x14ac:dyDescent="0.25">
      <c r="A2" t="s">
        <v>53</v>
      </c>
      <c r="B2">
        <v>21</v>
      </c>
      <c r="D2" t="s">
        <v>39</v>
      </c>
      <c r="E2">
        <f>SUM((B6*B2),(B7*B3),(B8*B4))</f>
        <v>142</v>
      </c>
    </row>
    <row r="3" spans="1:5" x14ac:dyDescent="0.25">
      <c r="A3" t="s">
        <v>54</v>
      </c>
      <c r="B3">
        <v>9</v>
      </c>
      <c r="D3" s="7" t="s">
        <v>41</v>
      </c>
      <c r="E3" s="7">
        <f>1-(COMBIN((E2-B2),B9)/COMBIN(E2,B9))</f>
        <v>0.96853876320267573</v>
      </c>
    </row>
    <row r="4" spans="1:5" x14ac:dyDescent="0.25">
      <c r="A4" t="s">
        <v>55</v>
      </c>
      <c r="B4">
        <v>5</v>
      </c>
      <c r="D4" s="7" t="s">
        <v>42</v>
      </c>
      <c r="E4" s="7">
        <f>1-(COMBIN((E2-B3),B9)/COMBIN(E2,B9))</f>
        <v>0.7557837621561353</v>
      </c>
    </row>
    <row r="5" spans="1:5" x14ac:dyDescent="0.25">
      <c r="A5" t="s">
        <v>40</v>
      </c>
      <c r="B5">
        <v>10</v>
      </c>
      <c r="D5" s="7" t="s">
        <v>43</v>
      </c>
      <c r="E5" s="7">
        <f>1-(COMBIN((E2-B4),B9)/COMBIN(E2,B9))</f>
        <v>0.53737826145384604</v>
      </c>
    </row>
    <row r="6" spans="1:5" x14ac:dyDescent="0.25">
      <c r="A6" t="s">
        <v>36</v>
      </c>
      <c r="B6">
        <v>5</v>
      </c>
      <c r="D6" s="7" t="s">
        <v>56</v>
      </c>
      <c r="E6" s="7">
        <f>B9*(B2/E2)</f>
        <v>2.9577464788732395</v>
      </c>
    </row>
    <row r="7" spans="1:5" x14ac:dyDescent="0.25">
      <c r="A7" t="s">
        <v>37</v>
      </c>
      <c r="B7">
        <v>3</v>
      </c>
      <c r="D7" s="7" t="s">
        <v>57</v>
      </c>
      <c r="E7" s="7">
        <f>B9*(B3/E2)</f>
        <v>1.267605633802817</v>
      </c>
    </row>
    <row r="8" spans="1:5" x14ac:dyDescent="0.25">
      <c r="A8" t="s">
        <v>38</v>
      </c>
      <c r="B8">
        <v>2</v>
      </c>
      <c r="D8" s="7" t="s">
        <v>58</v>
      </c>
      <c r="E8" s="7">
        <f>B9*(B4/E2)</f>
        <v>0.70422535211267612</v>
      </c>
    </row>
    <row r="9" spans="1:5" x14ac:dyDescent="0.25">
      <c r="A9" s="7" t="s">
        <v>44</v>
      </c>
      <c r="B9" s="7">
        <v>20</v>
      </c>
      <c r="D9" s="8" t="s">
        <v>51</v>
      </c>
      <c r="E9" s="8">
        <f>1-(COMBIN((E2-B2),B10)/COMBIN(E2,B10))</f>
        <v>0.92107384117462077</v>
      </c>
    </row>
    <row r="10" spans="1:5" x14ac:dyDescent="0.25">
      <c r="A10" s="8" t="s">
        <v>46</v>
      </c>
      <c r="B10" s="8">
        <v>15</v>
      </c>
      <c r="D10" s="8" t="s">
        <v>49</v>
      </c>
      <c r="E10" s="8">
        <f>1-(COMBIN((E2-B3),B10)/COMBIN(E2,B10))</f>
        <v>0.64513998844222598</v>
      </c>
    </row>
    <row r="11" spans="1:5" x14ac:dyDescent="0.25">
      <c r="A11" s="9" t="s">
        <v>45</v>
      </c>
      <c r="B11" s="9">
        <v>10</v>
      </c>
      <c r="D11" s="8" t="s">
        <v>47</v>
      </c>
      <c r="E11" s="8">
        <f>1-(COMBIN((E2-B4),B10)/COMBIN(E2,B10))</f>
        <v>0.43260997513307775</v>
      </c>
    </row>
    <row r="12" spans="1:5" x14ac:dyDescent="0.25">
      <c r="D12" s="8" t="s">
        <v>59</v>
      </c>
      <c r="E12" s="8">
        <f>B10*(B2/E2)</f>
        <v>2.2183098591549295</v>
      </c>
    </row>
    <row r="13" spans="1:5" x14ac:dyDescent="0.25">
      <c r="D13" s="8" t="s">
        <v>60</v>
      </c>
      <c r="E13" s="8">
        <f>B10*(B3/E2)</f>
        <v>0.95070422535211263</v>
      </c>
    </row>
    <row r="14" spans="1:5" x14ac:dyDescent="0.25">
      <c r="D14" s="8" t="s">
        <v>61</v>
      </c>
      <c r="E14" s="8">
        <f>B10*(B4/E2)</f>
        <v>0.52816901408450712</v>
      </c>
    </row>
    <row r="15" spans="1:5" x14ac:dyDescent="0.25">
      <c r="D15" s="9" t="s">
        <v>52</v>
      </c>
      <c r="E15" s="9">
        <f>1-(COMBIN((E2-B2),B11)/COMBIN(E2,B11))</f>
        <v>0.80951554873955689</v>
      </c>
    </row>
    <row r="16" spans="1:5" x14ac:dyDescent="0.25">
      <c r="D16" s="9" t="s">
        <v>50</v>
      </c>
      <c r="E16" s="9">
        <f>1-(COMBIN((E2-B3),B11)/COMBIN(E2,B11))</f>
        <v>0.49199638637217047</v>
      </c>
    </row>
    <row r="17" spans="4:5" x14ac:dyDescent="0.25">
      <c r="D17" s="9" t="s">
        <v>48</v>
      </c>
      <c r="E17" s="9">
        <f>1-(COMBIN((E2-B4),B11)/COMBIN(E2,B11))</f>
        <v>0.30966661012668883</v>
      </c>
    </row>
    <row r="18" spans="4:5" x14ac:dyDescent="0.25">
      <c r="D18" s="9" t="s">
        <v>56</v>
      </c>
      <c r="E18" s="9">
        <f>B11*(B2/E2)</f>
        <v>1.4788732394366197</v>
      </c>
    </row>
    <row r="19" spans="4:5" x14ac:dyDescent="0.25">
      <c r="D19" s="9" t="s">
        <v>57</v>
      </c>
      <c r="E19" s="9">
        <f>B11*(B3/E2)</f>
        <v>0.63380281690140849</v>
      </c>
    </row>
    <row r="20" spans="4:5" x14ac:dyDescent="0.25">
      <c r="D20" s="9" t="s">
        <v>58</v>
      </c>
      <c r="E20" s="9">
        <f>B11*(B4/E2)</f>
        <v>0.35211267605633806</v>
      </c>
    </row>
  </sheetData>
  <mergeCells count="2">
    <mergeCell ref="A1:B1"/>
    <mergeCell ref="D1:E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4717-75DB-4D2E-A489-95190A48AAD0}">
  <dimension ref="A2:B8"/>
  <sheetViews>
    <sheetView workbookViewId="0">
      <selection activeCell="C9" sqref="C9"/>
    </sheetView>
  </sheetViews>
  <sheetFormatPr defaultRowHeight="15" x14ac:dyDescent="0.25"/>
  <cols>
    <col min="1" max="1" width="22.7109375" customWidth="1"/>
    <col min="3" max="3" width="12.42578125" customWidth="1"/>
  </cols>
  <sheetData>
    <row r="2" spans="1:2" x14ac:dyDescent="0.25">
      <c r="A2" t="s">
        <v>62</v>
      </c>
      <c r="B2">
        <v>3</v>
      </c>
    </row>
    <row r="3" spans="1:2" x14ac:dyDescent="0.25">
      <c r="A3" t="s">
        <v>68</v>
      </c>
      <c r="B3">
        <v>1</v>
      </c>
    </row>
    <row r="4" spans="1:2" x14ac:dyDescent="0.25">
      <c r="A4" t="s">
        <v>63</v>
      </c>
      <c r="B4">
        <v>0</v>
      </c>
    </row>
    <row r="5" spans="1:2" x14ac:dyDescent="0.25">
      <c r="A5" t="s">
        <v>64</v>
      </c>
      <c r="B5">
        <v>0</v>
      </c>
    </row>
    <row r="6" spans="1:2" x14ac:dyDescent="0.25">
      <c r="A6" t="s">
        <v>65</v>
      </c>
      <c r="B6">
        <v>0</v>
      </c>
    </row>
    <row r="7" spans="1:2" x14ac:dyDescent="0.25">
      <c r="A7" t="s">
        <v>66</v>
      </c>
      <c r="B7">
        <v>0</v>
      </c>
    </row>
    <row r="8" spans="1:2" x14ac:dyDescent="0.25">
      <c r="A8" t="s">
        <v>67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0B746-A31B-4C73-B775-7F213B02D709}">
  <dimension ref="A1:C1"/>
  <sheetViews>
    <sheetView topLeftCell="A96" workbookViewId="0">
      <selection activeCell="D1" sqref="D1"/>
    </sheetView>
  </sheetViews>
  <sheetFormatPr defaultRowHeight="15" x14ac:dyDescent="0.25"/>
  <sheetData>
    <row r="1" spans="1:3" x14ac:dyDescent="0.25">
      <c r="A1" t="s">
        <v>69</v>
      </c>
      <c r="B1" t="s">
        <v>70</v>
      </c>
      <c r="C1" t="s">
        <v>71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List1</vt:lpstr>
      <vt:lpstr>component_counts</vt:lpstr>
      <vt:lpstr>probabilities</vt:lpstr>
      <vt:lpstr>effects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Smutný</dc:creator>
  <cp:lastModifiedBy>Jiří Smutný</cp:lastModifiedBy>
  <dcterms:created xsi:type="dcterms:W3CDTF">2026-06-24T06:31:15Z</dcterms:created>
  <dcterms:modified xsi:type="dcterms:W3CDTF">2026-06-30T06:39:20Z</dcterms:modified>
</cp:coreProperties>
</file>